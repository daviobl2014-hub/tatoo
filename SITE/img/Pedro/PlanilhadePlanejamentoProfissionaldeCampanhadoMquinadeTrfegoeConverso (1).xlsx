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viPYJS\Desktop\Pedro\"/>
    </mc:Choice>
  </mc:AlternateContent>
  <xr:revisionPtr revIDLastSave="0" documentId="13_ncr:1_{C2622199-DADC-4415-A24D-5BBD4EEBD7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se1_Estudo Palavras" sheetId="1" r:id="rId1"/>
    <sheet name="Fase2_Palavras Negativas" sheetId="2" r:id="rId2"/>
    <sheet name="Fase3_Agrupamentos" sheetId="3" r:id="rId3"/>
    <sheet name="Fase4_Estimativa de Resultados" sheetId="4" r:id="rId4"/>
  </sheets>
  <definedNames>
    <definedName name="_xlnm._FilterDatabase" localSheetId="2" hidden="1">Fase3_Agrupamentos!$A$2:$C$6</definedName>
  </definedNames>
  <calcPr calcId="181029"/>
</workbook>
</file>

<file path=xl/calcChain.xml><?xml version="1.0" encoding="utf-8"?>
<calcChain xmlns="http://schemas.openxmlformats.org/spreadsheetml/2006/main">
  <c r="C11" i="4" l="1"/>
  <c r="B11" i="4"/>
  <c r="A11" i="4"/>
  <c r="I10" i="4"/>
  <c r="G10" i="4"/>
  <c r="C10" i="4"/>
  <c r="B10" i="4"/>
  <c r="A10" i="4"/>
  <c r="I9" i="4"/>
  <c r="G9" i="4"/>
  <c r="C9" i="4"/>
  <c r="B9" i="4"/>
  <c r="A9" i="4"/>
  <c r="I8" i="4"/>
  <c r="G8" i="4"/>
  <c r="C8" i="4"/>
  <c r="B8" i="4"/>
  <c r="A8" i="4"/>
  <c r="I7" i="4"/>
  <c r="G7" i="4"/>
  <c r="C7" i="4"/>
  <c r="B7" i="4"/>
  <c r="A7" i="4"/>
  <c r="C6" i="4"/>
  <c r="B6" i="4"/>
  <c r="I6" i="4" s="1"/>
  <c r="A6" i="4"/>
  <c r="C5" i="4"/>
  <c r="B5" i="4"/>
  <c r="G5" i="4" s="1"/>
  <c r="A5" i="4"/>
  <c r="C4" i="4"/>
  <c r="B4" i="4"/>
  <c r="I4" i="4" s="1"/>
  <c r="A4" i="4"/>
  <c r="C3" i="4"/>
  <c r="B3" i="4"/>
  <c r="A3" i="4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G3" i="4" l="1"/>
  <c r="G13" i="4" s="1"/>
  <c r="D11" i="4"/>
  <c r="D10" i="4"/>
  <c r="D9" i="4"/>
  <c r="D8" i="4"/>
  <c r="D7" i="4"/>
  <c r="G6" i="4"/>
  <c r="D6" i="4"/>
  <c r="D5" i="4"/>
  <c r="D4" i="4"/>
  <c r="G4" i="4"/>
  <c r="D3" i="4"/>
  <c r="I3" i="4"/>
  <c r="I5" i="4"/>
  <c r="I13" i="4" l="1"/>
  <c r="J15" i="4" s="1"/>
  <c r="J13" i="4" l="1"/>
  <c r="J14" i="4"/>
</calcChain>
</file>

<file path=xl/sharedStrings.xml><?xml version="1.0" encoding="utf-8"?>
<sst xmlns="http://schemas.openxmlformats.org/spreadsheetml/2006/main" count="200" uniqueCount="167">
  <si>
    <t>ANALISANDO VIABILIDADE DE PALAVRA-CHAVE E ESTIMANDO ORÇAMENTO</t>
  </si>
  <si>
    <t>Palavra Chave</t>
  </si>
  <si>
    <t>Buscas Mês</t>
  </si>
  <si>
    <t>CPC Médio</t>
  </si>
  <si>
    <t>Relação com a Solução</t>
  </si>
  <si>
    <t>Relação de Intencionalidade</t>
  </si>
  <si>
    <t>RELAÇÃO SITE/PALAVRA CHAVE</t>
  </si>
  <si>
    <t>Relação Direta (intenção de compra)</t>
  </si>
  <si>
    <t>Intencionalidade Exclusiva</t>
  </si>
  <si>
    <t>100% Alinhado e Exclusivo</t>
  </si>
  <si>
    <t>Relação Próxima (maioria quer comprar)</t>
  </si>
  <si>
    <t>70% de Intencionalidade</t>
  </si>
  <si>
    <t>REGRAS DE CORRESPONDÊNCIA</t>
  </si>
  <si>
    <t>Relação direta da solução + intencionalidade exclusiva</t>
  </si>
  <si>
    <t>Relação próxima + intencionalidade exclusiva</t>
  </si>
  <si>
    <t>Relação de DOR ou de INFORMAÇÃO</t>
  </si>
  <si>
    <t>Relação direta da solução + 70% de intencionalidade</t>
  </si>
  <si>
    <t>Relação direta da solução + 50% de intencionalidade</t>
  </si>
  <si>
    <t>Relação de DOR ou de INFORMAÇÃO + 50% de intencionalidade</t>
  </si>
  <si>
    <t>Palavras Negativas</t>
  </si>
  <si>
    <t>DEFININDO CAMPANHAS E GRUPOS</t>
  </si>
  <si>
    <t>Solução</t>
  </si>
  <si>
    <t>Interesse</t>
  </si>
  <si>
    <t>Solução 1</t>
  </si>
  <si>
    <t>Interesse 1</t>
  </si>
  <si>
    <t>REGRA DE CAMPANHAS E GRUPOS</t>
  </si>
  <si>
    <t>Solução 2</t>
  </si>
  <si>
    <t>Cada solução, uma campanha</t>
  </si>
  <si>
    <t>Interesse 2</t>
  </si>
  <si>
    <t>Cada interesse, da mesma solução, um grupo de anúncio</t>
  </si>
  <si>
    <t>REGRA DE QUANTIDADE DE PÁGINAS</t>
  </si>
  <si>
    <t>Cada solução, um site</t>
  </si>
  <si>
    <t>Cada interesse, da mesma solução, um site se tiver ao menos uns 200 cliques mês</t>
  </si>
  <si>
    <t>Estimando Resultado da Campanha</t>
  </si>
  <si>
    <t>Custo do Tráfego</t>
  </si>
  <si>
    <t>Estim. Impressões</t>
  </si>
  <si>
    <t>Estim. CTR</t>
  </si>
  <si>
    <t>Custo Real Tráfego</t>
  </si>
  <si>
    <t>Estim. Conv.</t>
  </si>
  <si>
    <t>Estim. Vendas</t>
  </si>
  <si>
    <t>Total</t>
  </si>
  <si>
    <t>REGRAS PARA ESCOLHER QUANTIDADE DE PALAVRAS</t>
  </si>
  <si>
    <t>10 cliques/dia</t>
  </si>
  <si>
    <t>1 a 3 (Mesma Solução e Interesse)</t>
  </si>
  <si>
    <t>20 cliques/dia</t>
  </si>
  <si>
    <t>1 a 3 (Mesma Solução e Interesse ou 2 Interesses)</t>
  </si>
  <si>
    <t>30 a 50 cliques/dia</t>
  </si>
  <si>
    <t>até 2 soluções e 2 interesses</t>
  </si>
  <si>
    <t>50 a 100 cliques</t>
  </si>
  <si>
    <t>até 3 soluções e 2 interesses cada</t>
  </si>
  <si>
    <t>LEMBRE-SE</t>
  </si>
  <si>
    <t>Quanto mais puder deixar uma verba disponível para uma única campanha/palavra, mais forte ela será.</t>
  </si>
  <si>
    <t>Etiquetas Personalizadas</t>
  </si>
  <si>
    <t>etiquetas personalizadas para roupa</t>
  </si>
  <si>
    <t>10K - 100K</t>
  </si>
  <si>
    <t>1K - 10K</t>
  </si>
  <si>
    <t>etiqueta roupa personalizada</t>
  </si>
  <si>
    <t>etiqueta personalizada para roupas</t>
  </si>
  <si>
    <t>fábrica de etiquetas</t>
  </si>
  <si>
    <t>100 – 1 mil</t>
  </si>
  <si>
    <t>etiquetas bordadas</t>
  </si>
  <si>
    <t>etiqueta termocolante personalizada</t>
  </si>
  <si>
    <t>etiquetas redondas personalizadas</t>
  </si>
  <si>
    <t>etiquetas bordadas personalizadas</t>
  </si>
  <si>
    <t>fabrica de etiquetas para roupas</t>
  </si>
  <si>
    <t>etiquetas para personalizar</t>
  </si>
  <si>
    <t>etiquetas bordadas para roupas</t>
  </si>
  <si>
    <t>etiquetas para artesanato</t>
  </si>
  <si>
    <t>etiqueta tecida</t>
  </si>
  <si>
    <t>etiqueta de tecido para roupas</t>
  </si>
  <si>
    <t>etiqueta de tecidos</t>
  </si>
  <si>
    <t>etiquetas de tecidos personalizadas</t>
  </si>
  <si>
    <t>etiquetas tecidas personalizadas</t>
  </si>
  <si>
    <t>etiqueta cetim sublimação</t>
  </si>
  <si>
    <t>etiqueta de cetim para roupa</t>
  </si>
  <si>
    <t>etiquetas escolares personalizadas</t>
  </si>
  <si>
    <t>etiqueta escolar</t>
  </si>
  <si>
    <t>etiquetas adesivas personalizadas</t>
  </si>
  <si>
    <t>tag personalizada</t>
  </si>
  <si>
    <t>adesivos escolares</t>
  </si>
  <si>
    <t>etiquetas personalizadas para imprimir</t>
  </si>
  <si>
    <t>adegraf etiquetas</t>
  </si>
  <si>
    <t>adesivo vinil personalizado</t>
  </si>
  <si>
    <t>adesivo transparente personalizado</t>
  </si>
  <si>
    <t>etiquetas escolares para imprimir</t>
  </si>
  <si>
    <t>etiquetas personalizadas adesivas</t>
  </si>
  <si>
    <t>etiquetas transparentes personalizadas</t>
  </si>
  <si>
    <t>adesivos personalizados para embalagens</t>
  </si>
  <si>
    <t>adesivo escolar personalizado</t>
  </si>
  <si>
    <t>adesivo holográfico personalizado</t>
  </si>
  <si>
    <t>etiqueta emborrachada personalizada</t>
  </si>
  <si>
    <t>etiqueta void</t>
  </si>
  <si>
    <t>tag personalizada para roupa</t>
  </si>
  <si>
    <t>etiquetas de metal personalizadas</t>
  </si>
  <si>
    <t>etiqueta resinada personalizada</t>
  </si>
  <si>
    <t>etiqueta para uniforme escolar</t>
  </si>
  <si>
    <t xml:space="preserve">adesivos escolares personalizados
</t>
  </si>
  <si>
    <t>etiquetas escolares personalizadas a prova d ag</t>
  </si>
  <si>
    <t>plaquinha de metal personalizada</t>
  </si>
  <si>
    <t>etiqueta metal personalizada</t>
  </si>
  <si>
    <t>etiqueta bopp personalizada</t>
  </si>
  <si>
    <t>impressão de rótulos</t>
  </si>
  <si>
    <t>adesivo termocolante personalizado</t>
  </si>
  <si>
    <t>etiquetas e adesivos personalizados</t>
  </si>
  <si>
    <t>etiqueta de couro personalizada</t>
  </si>
  <si>
    <t>caneta bic personalizada</t>
  </si>
  <si>
    <t>tag personalizado</t>
  </si>
  <si>
    <t>etiquetas couche</t>
  </si>
  <si>
    <t>etiqueta vinil personalizada</t>
  </si>
  <si>
    <t>adesivo casca de ovo personalizado</t>
  </si>
  <si>
    <t>adesivos termocolantes personalizados</t>
  </si>
  <si>
    <t>tag para roupas personalizadas</t>
  </si>
  <si>
    <t>etiqueta couro personalizada</t>
  </si>
  <si>
    <t>etiqueta a prova d água personalizada</t>
  </si>
  <si>
    <t>etiqueta de couro</t>
  </si>
  <si>
    <t>etiqueta de metal personalizada para bolsas</t>
  </si>
  <si>
    <t>adesivos personalizados escolar</t>
  </si>
  <si>
    <t>tag metal personalizada</t>
  </si>
  <si>
    <t>etiquetas adesivas escolares</t>
  </si>
  <si>
    <t>etiquetas e adesivos escolares</t>
  </si>
  <si>
    <t>fábrica de bordado</t>
  </si>
  <si>
    <t>confecção de etiquetas para roupas</t>
  </si>
  <si>
    <t>confecção etiquetas roupas</t>
  </si>
  <si>
    <t>fornecedor de etiquetas</t>
  </si>
  <si>
    <t>camisas bordadas para empresas</t>
  </si>
  <si>
    <t>etiqueta alta definição</t>
  </si>
  <si>
    <t>etiqueta bordada alta definição</t>
  </si>
  <si>
    <t>etiquetas bordadas alta definição</t>
  </si>
  <si>
    <t>patches personalizados</t>
  </si>
  <si>
    <t>patch bordado personalizado</t>
  </si>
  <si>
    <t>patch emborrachado</t>
  </si>
  <si>
    <t>patch emborrachado personalizado</t>
  </si>
  <si>
    <t>patch termocolante personalizado</t>
  </si>
  <si>
    <t>patches bordados personalizados</t>
  </si>
  <si>
    <t>bordado termocolante</t>
  </si>
  <si>
    <t>patch para roupas</t>
  </si>
  <si>
    <t>patch bordado termocolante</t>
  </si>
  <si>
    <t>bordado termocolante personalizado</t>
  </si>
  <si>
    <t>patch velcro personalizado</t>
  </si>
  <si>
    <t>patches emborrachados</t>
  </si>
  <si>
    <t>patch militar</t>
  </si>
  <si>
    <t>patch personalizado termocolante</t>
  </si>
  <si>
    <t>patch personalizado velcro</t>
  </si>
  <si>
    <t>patch bandeiras</t>
  </si>
  <si>
    <t>patch aplique</t>
  </si>
  <si>
    <t>patches termocolantes personalizados</t>
  </si>
  <si>
    <t>bordado jiu jitsu</t>
  </si>
  <si>
    <t>gracie humaita patch</t>
  </si>
  <si>
    <t>patch bordado jiu jitsu</t>
  </si>
  <si>
    <t>patch de jiu jitsu</t>
  </si>
  <si>
    <t>patch de kimono jiu jitsu</t>
  </si>
  <si>
    <t>patch gracie barra</t>
  </si>
  <si>
    <t>patch jiu jitsu para kimono</t>
  </si>
  <si>
    <t>patch kimono jiu jitsu</t>
  </si>
  <si>
    <t>patch jiu jitsu personalizado</t>
  </si>
  <si>
    <t>bordados personalizados</t>
  </si>
  <si>
    <t>bordados online</t>
  </si>
  <si>
    <t>bordados personalizados são paulo</t>
  </si>
  <si>
    <t>empresa de bordados</t>
  </si>
  <si>
    <t>rechilieu</t>
  </si>
  <si>
    <t>loja de bordados</t>
  </si>
  <si>
    <t>bordado richelieu</t>
  </si>
  <si>
    <t>bordado em camiseta</t>
  </si>
  <si>
    <t>richelieu bordado</t>
  </si>
  <si>
    <t>loja de bordados personalizados</t>
  </si>
  <si>
    <t>corte a laser tecido</t>
  </si>
  <si>
    <t>serviços de corte a 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</si>
</sst>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14">
    <font>
      <sz val="10"/>
      <color rgb="FF000000"/>
      <name val="Arial"/>
      <scheme val="minor"/>
    </font>
    <font>
      <b/>
      <sz val="16"/>
      <color rgb="FFFFFFFF"/>
      <name val="Lexend"/>
    </font>
    <font>
      <b/>
      <sz val="12"/>
      <color theme="1"/>
      <name val="Lexend"/>
    </font>
    <font>
      <sz val="12"/>
      <color theme="1"/>
      <name val="Lexend"/>
    </font>
    <font>
      <sz val="10"/>
      <color theme="1"/>
      <name val="Arial"/>
    </font>
    <font>
      <b/>
      <sz val="12"/>
      <color rgb="FFFFFFFF"/>
      <name val="Lexend"/>
    </font>
    <font>
      <b/>
      <sz val="10"/>
      <color theme="1"/>
      <name val="Arial"/>
    </font>
    <font>
      <sz val="10"/>
      <color theme="1"/>
      <name val="Lexend"/>
    </font>
    <font>
      <b/>
      <sz val="18"/>
      <color rgb="FFFFFFFF"/>
      <name val="Lexend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9"/>
      <color rgb="FF202124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3C404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/>
    <xf numFmtId="0" fontId="4" fillId="4" borderId="0" xfId="0" applyFont="1" applyFill="1"/>
    <xf numFmtId="0" fontId="3" fillId="0" borderId="0" xfId="0" applyFont="1"/>
    <xf numFmtId="0" fontId="2" fillId="4" borderId="0" xfId="0" applyFont="1" applyFill="1"/>
    <xf numFmtId="0" fontId="6" fillId="4" borderId="0" xfId="0" applyFont="1" applyFill="1"/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7" fillId="0" borderId="0" xfId="0" applyFont="1"/>
    <xf numFmtId="9" fontId="3" fillId="0" borderId="0" xfId="0" applyNumberFormat="1" applyFont="1" applyAlignment="1">
      <alignment horizontal="center"/>
    </xf>
    <xf numFmtId="9" fontId="3" fillId="4" borderId="0" xfId="0" applyNumberFormat="1" applyFont="1" applyFill="1" applyAlignment="1">
      <alignment horizontal="center"/>
    </xf>
    <xf numFmtId="0" fontId="9" fillId="0" borderId="0" xfId="0" applyFont="1"/>
    <xf numFmtId="9" fontId="9" fillId="0" borderId="0" xfId="0" applyNumberFormat="1" applyFont="1"/>
    <xf numFmtId="0" fontId="2" fillId="4" borderId="0" xfId="0" applyFont="1" applyFill="1"/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3" fillId="4" borderId="0" xfId="0" applyFont="1" applyFill="1"/>
    <xf numFmtId="0" fontId="5" fillId="5" borderId="0" xfId="0" applyFont="1" applyFill="1"/>
    <xf numFmtId="0" fontId="2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11" fillId="0" borderId="0" xfId="0" applyFont="1"/>
    <xf numFmtId="0" fontId="13" fillId="0" borderId="0" xfId="0" applyFont="1"/>
    <xf numFmtId="0" fontId="12" fillId="0" borderId="0" xfId="0" applyFont="1"/>
    <xf numFmtId="0" fontId="1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47"/>
  <sheetViews>
    <sheetView tabSelected="1" topLeftCell="A45" workbookViewId="0">
      <selection activeCell="A65" sqref="A65"/>
    </sheetView>
  </sheetViews>
  <sheetFormatPr defaultColWidth="12.5703125" defaultRowHeight="15" customHeight="1"/>
  <cols>
    <col min="1" max="1" width="32.42578125" customWidth="1"/>
    <col min="2" max="2" width="14.5703125" customWidth="1"/>
    <col min="3" max="3" width="16.5703125" customWidth="1"/>
    <col min="4" max="4" width="42" customWidth="1"/>
    <col min="5" max="5" width="32.28515625" customWidth="1"/>
    <col min="6" max="6" width="34.28515625" customWidth="1"/>
  </cols>
  <sheetData>
    <row r="1" spans="1:6" ht="73.5" customHeight="1">
      <c r="A1" s="23" t="s">
        <v>0</v>
      </c>
      <c r="B1" s="21"/>
      <c r="C1" s="21"/>
      <c r="D1" s="21"/>
      <c r="E1" s="21"/>
      <c r="F1" s="21"/>
    </row>
    <row r="2" spans="1:6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.75" customHeight="1">
      <c r="A3" s="2" t="s">
        <v>52</v>
      </c>
      <c r="B3" s="3" t="s">
        <v>54</v>
      </c>
      <c r="C3" s="2">
        <v>2.27</v>
      </c>
      <c r="D3" s="2" t="s">
        <v>7</v>
      </c>
      <c r="E3" s="2" t="s">
        <v>8</v>
      </c>
      <c r="F3" s="2" t="s">
        <v>9</v>
      </c>
    </row>
    <row r="4" spans="1:6" ht="15.75" customHeight="1">
      <c r="A4" s="4" t="s">
        <v>53</v>
      </c>
      <c r="B4" s="5" t="s">
        <v>55</v>
      </c>
      <c r="C4" s="4">
        <v>1.55</v>
      </c>
      <c r="D4" s="4" t="s">
        <v>7</v>
      </c>
      <c r="E4" s="5" t="s">
        <v>8</v>
      </c>
      <c r="F4" s="4" t="s">
        <v>9</v>
      </c>
    </row>
    <row r="5" spans="1:6" ht="15.75" customHeight="1">
      <c r="A5" s="2" t="s">
        <v>56</v>
      </c>
      <c r="B5" s="3" t="s">
        <v>55</v>
      </c>
      <c r="C5" s="2">
        <v>1.61</v>
      </c>
      <c r="D5" s="2" t="s">
        <v>7</v>
      </c>
      <c r="E5" s="2" t="s">
        <v>8</v>
      </c>
      <c r="F5" s="2" t="s">
        <v>9</v>
      </c>
    </row>
    <row r="6" spans="1:6" ht="15.75" customHeight="1">
      <c r="A6" s="5" t="s">
        <v>57</v>
      </c>
      <c r="B6" s="5" t="s">
        <v>55</v>
      </c>
      <c r="C6" s="4">
        <v>1.6</v>
      </c>
      <c r="D6" s="4" t="s">
        <v>10</v>
      </c>
      <c r="E6" s="5" t="s">
        <v>11</v>
      </c>
      <c r="F6" s="4" t="s">
        <v>9</v>
      </c>
    </row>
    <row r="7" spans="1:6" ht="15.75" customHeight="1">
      <c r="A7" s="3" t="s">
        <v>58</v>
      </c>
      <c r="B7" s="3" t="s">
        <v>59</v>
      </c>
      <c r="C7" s="2">
        <v>4.3</v>
      </c>
      <c r="D7" s="2"/>
      <c r="E7" s="2"/>
      <c r="F7" s="2"/>
    </row>
    <row r="8" spans="1:6" ht="15.75" customHeight="1">
      <c r="A8" s="5" t="s">
        <v>60</v>
      </c>
      <c r="B8" s="5" t="s">
        <v>59</v>
      </c>
      <c r="C8" s="4">
        <v>1.49</v>
      </c>
      <c r="D8" s="4"/>
      <c r="E8" s="5"/>
      <c r="F8" s="4"/>
    </row>
    <row r="9" spans="1:6" ht="15.75" customHeight="1">
      <c r="A9" s="6" t="s">
        <v>61</v>
      </c>
      <c r="B9" s="3" t="s">
        <v>59</v>
      </c>
      <c r="C9" s="2">
        <v>2.2999999999999998</v>
      </c>
      <c r="D9" s="2"/>
      <c r="E9" s="2"/>
      <c r="F9" s="2"/>
    </row>
    <row r="10" spans="1:6" ht="15.75" customHeight="1">
      <c r="A10" s="7" t="s">
        <v>62</v>
      </c>
      <c r="B10" s="5" t="s">
        <v>59</v>
      </c>
      <c r="C10" s="4">
        <v>1.7</v>
      </c>
      <c r="D10" s="4"/>
      <c r="E10" s="5"/>
      <c r="F10" s="4"/>
    </row>
    <row r="11" spans="1:6" ht="15.75" customHeight="1">
      <c r="A11" s="6" t="s">
        <v>63</v>
      </c>
      <c r="B11" s="3" t="s">
        <v>59</v>
      </c>
      <c r="C11" s="2">
        <v>1.4</v>
      </c>
      <c r="D11" s="2"/>
      <c r="E11" s="2"/>
      <c r="F11" s="2"/>
    </row>
    <row r="12" spans="1:6" ht="15.75" customHeight="1">
      <c r="A12" s="7" t="s">
        <v>64</v>
      </c>
      <c r="B12" s="5" t="s">
        <v>59</v>
      </c>
      <c r="C12" s="4">
        <v>1.7</v>
      </c>
      <c r="D12" s="4"/>
      <c r="E12" s="5"/>
      <c r="F12" s="4"/>
    </row>
    <row r="13" spans="1:6" ht="15.75" customHeight="1">
      <c r="A13" s="6" t="s">
        <v>65</v>
      </c>
      <c r="B13" s="3" t="s">
        <v>59</v>
      </c>
      <c r="C13" s="2">
        <v>1.6</v>
      </c>
      <c r="D13" s="2"/>
      <c r="E13" s="2"/>
      <c r="F13" s="2"/>
    </row>
    <row r="14" spans="1:6" ht="15.75" customHeight="1">
      <c r="A14" s="7" t="s">
        <v>66</v>
      </c>
      <c r="B14" s="5" t="s">
        <v>59</v>
      </c>
      <c r="C14" s="4">
        <v>1</v>
      </c>
      <c r="D14" s="4"/>
      <c r="E14" s="5"/>
      <c r="F14" s="4"/>
    </row>
    <row r="15" spans="1:6" ht="15.75" customHeight="1">
      <c r="A15" s="6" t="s">
        <v>67</v>
      </c>
      <c r="B15" s="3" t="s">
        <v>59</v>
      </c>
      <c r="C15" s="2">
        <v>0.8</v>
      </c>
      <c r="D15" s="2"/>
      <c r="E15" s="2"/>
      <c r="F15" s="2"/>
    </row>
    <row r="16" spans="1:6" ht="15.75" customHeight="1">
      <c r="A16" s="7" t="s">
        <v>68</v>
      </c>
      <c r="B16" s="5" t="s">
        <v>59</v>
      </c>
      <c r="C16" s="4">
        <v>1.62</v>
      </c>
      <c r="D16" s="4"/>
      <c r="E16" s="5"/>
      <c r="F16" s="4"/>
    </row>
    <row r="17" spans="1:6" ht="15.75" customHeight="1">
      <c r="A17" s="6" t="s">
        <v>69</v>
      </c>
      <c r="B17" s="3" t="s">
        <v>59</v>
      </c>
      <c r="C17" s="2">
        <v>1.27</v>
      </c>
      <c r="D17" s="2"/>
      <c r="E17" s="2"/>
      <c r="F17" s="2"/>
    </row>
    <row r="18" spans="1:6" ht="15.75" customHeight="1">
      <c r="A18" s="7" t="s">
        <v>70</v>
      </c>
      <c r="B18" s="5" t="s">
        <v>59</v>
      </c>
      <c r="C18" s="4">
        <v>1.48</v>
      </c>
      <c r="D18" s="4"/>
      <c r="E18" s="5"/>
      <c r="F18" s="4"/>
    </row>
    <row r="19" spans="1:6" ht="15.75" customHeight="1">
      <c r="A19" s="7" t="s">
        <v>71</v>
      </c>
      <c r="B19" s="5" t="s">
        <v>59</v>
      </c>
      <c r="C19" s="4">
        <v>1.35</v>
      </c>
      <c r="D19" s="4"/>
      <c r="E19" s="5"/>
      <c r="F19" s="4"/>
    </row>
    <row r="20" spans="1:6" ht="15.75" customHeight="1">
      <c r="A20" s="7" t="s">
        <v>72</v>
      </c>
      <c r="B20" s="5" t="s">
        <v>59</v>
      </c>
      <c r="C20" s="4">
        <v>1.54</v>
      </c>
      <c r="D20" s="4"/>
      <c r="E20" s="5"/>
      <c r="F20" s="4"/>
    </row>
    <row r="21" spans="1:6" ht="15.75" customHeight="1">
      <c r="A21" s="34" t="s">
        <v>120</v>
      </c>
      <c r="B21" s="5"/>
      <c r="C21" s="4"/>
      <c r="D21" s="4"/>
      <c r="E21" s="5"/>
      <c r="F21" s="4"/>
    </row>
    <row r="22" spans="1:6" ht="15.75" customHeight="1">
      <c r="A22" s="34" t="s">
        <v>121</v>
      </c>
      <c r="B22" s="5"/>
      <c r="C22" s="4"/>
      <c r="D22" s="4"/>
      <c r="E22" s="5"/>
      <c r="F22" s="4"/>
    </row>
    <row r="23" spans="1:6" ht="15.75" customHeight="1">
      <c r="A23" s="34" t="s">
        <v>122</v>
      </c>
      <c r="B23" s="5"/>
      <c r="C23" s="4"/>
      <c r="D23" s="4"/>
      <c r="E23" s="5"/>
      <c r="F23" s="4"/>
    </row>
    <row r="24" spans="1:6" ht="15.75" customHeight="1">
      <c r="A24" s="34" t="s">
        <v>123</v>
      </c>
      <c r="B24" s="5"/>
      <c r="C24" s="4"/>
      <c r="D24" s="4"/>
      <c r="E24" s="5"/>
      <c r="F24" s="4"/>
    </row>
    <row r="25" spans="1:6" ht="15.75" customHeight="1">
      <c r="A25" s="33" t="s">
        <v>124</v>
      </c>
      <c r="B25" s="5"/>
      <c r="C25" s="4"/>
      <c r="D25" s="4"/>
      <c r="E25" s="5"/>
      <c r="F25" s="4"/>
    </row>
    <row r="26" spans="1:6" ht="15.75" customHeight="1">
      <c r="A26" s="34" t="s">
        <v>125</v>
      </c>
      <c r="B26" s="5"/>
      <c r="C26" s="4"/>
      <c r="D26" s="4"/>
      <c r="E26" s="5"/>
      <c r="F26" s="4"/>
    </row>
    <row r="27" spans="1:6" ht="15.75" customHeight="1">
      <c r="A27" s="34" t="s">
        <v>126</v>
      </c>
      <c r="B27" s="5"/>
      <c r="C27" s="4"/>
      <c r="D27" s="4"/>
      <c r="E27" s="5"/>
      <c r="F27" s="4"/>
    </row>
    <row r="28" spans="1:6" ht="15.75" customHeight="1">
      <c r="A28" s="34" t="s">
        <v>127</v>
      </c>
      <c r="B28" s="5"/>
      <c r="C28" s="4"/>
      <c r="D28" s="4"/>
      <c r="E28" s="5"/>
      <c r="F28" s="4"/>
    </row>
    <row r="29" spans="1:6" ht="15.75" customHeight="1">
      <c r="A29" s="31" t="s">
        <v>128</v>
      </c>
      <c r="B29" s="5"/>
      <c r="C29" s="4"/>
      <c r="D29" s="4"/>
      <c r="E29" s="5"/>
      <c r="F29" s="4"/>
    </row>
    <row r="30" spans="1:6" ht="15.75" customHeight="1">
      <c r="A30" s="31" t="s">
        <v>129</v>
      </c>
      <c r="B30" s="5"/>
      <c r="C30" s="4"/>
      <c r="D30" s="4"/>
      <c r="E30" s="5"/>
      <c r="F30" s="4"/>
    </row>
    <row r="31" spans="1:6" ht="15.75" customHeight="1">
      <c r="A31" s="32" t="s">
        <v>132</v>
      </c>
      <c r="B31" s="5"/>
      <c r="C31" s="4"/>
      <c r="D31" s="4"/>
      <c r="E31" s="5"/>
      <c r="F31" s="4"/>
    </row>
    <row r="32" spans="1:6" ht="15.75" customHeight="1">
      <c r="A32" s="32" t="s">
        <v>133</v>
      </c>
      <c r="B32" s="5"/>
      <c r="C32" s="4"/>
      <c r="D32" s="4"/>
      <c r="E32" s="5"/>
      <c r="F32" s="4"/>
    </row>
    <row r="33" spans="1:6" ht="15.75" customHeight="1">
      <c r="A33" s="32" t="s">
        <v>134</v>
      </c>
      <c r="B33" s="5"/>
      <c r="C33" s="4"/>
      <c r="D33" s="4"/>
      <c r="E33" s="5"/>
      <c r="F33" s="4"/>
    </row>
    <row r="34" spans="1:6" ht="15.75" customHeight="1">
      <c r="A34" s="31" t="s">
        <v>135</v>
      </c>
      <c r="B34" s="5"/>
      <c r="C34" s="4"/>
      <c r="D34" s="4"/>
      <c r="E34" s="5"/>
      <c r="F34" s="4"/>
    </row>
    <row r="35" spans="1:6" ht="15.75" customHeight="1">
      <c r="A35" s="32" t="s">
        <v>136</v>
      </c>
      <c r="B35" s="5"/>
      <c r="C35" s="4"/>
      <c r="D35" s="4"/>
      <c r="E35" s="5"/>
      <c r="F35" s="4"/>
    </row>
    <row r="36" spans="1:6" ht="15.75" customHeight="1">
      <c r="A36" s="31" t="s">
        <v>137</v>
      </c>
      <c r="B36" s="5"/>
      <c r="C36" s="4"/>
      <c r="D36" s="4"/>
      <c r="E36" s="5"/>
      <c r="F36" s="4"/>
    </row>
    <row r="37" spans="1:6" ht="15.75" customHeight="1">
      <c r="A37" s="31" t="s">
        <v>138</v>
      </c>
      <c r="B37" s="5"/>
      <c r="C37" s="4"/>
      <c r="D37" s="4"/>
      <c r="E37" s="5"/>
      <c r="F37" s="4"/>
    </row>
    <row r="38" spans="1:6" ht="15.75" customHeight="1">
      <c r="A38" s="31" t="s">
        <v>140</v>
      </c>
      <c r="B38" s="5"/>
      <c r="C38" s="4"/>
      <c r="D38" s="4"/>
      <c r="E38" s="5"/>
      <c r="F38" s="4"/>
    </row>
    <row r="39" spans="1:6" ht="15.75" customHeight="1">
      <c r="A39" s="31" t="s">
        <v>141</v>
      </c>
      <c r="B39" s="5"/>
      <c r="C39" s="4"/>
      <c r="D39" s="4"/>
      <c r="E39" s="5"/>
      <c r="F39" s="4"/>
    </row>
    <row r="40" spans="1:6" ht="15.75" customHeight="1">
      <c r="A40" s="31" t="s">
        <v>142</v>
      </c>
      <c r="B40" s="5"/>
      <c r="C40" s="4"/>
      <c r="D40" s="4"/>
      <c r="E40" s="5"/>
      <c r="F40" s="4"/>
    </row>
    <row r="41" spans="1:6" ht="15.75" customHeight="1">
      <c r="A41" s="31" t="s">
        <v>143</v>
      </c>
      <c r="B41" s="5"/>
      <c r="C41" s="4"/>
      <c r="D41" s="4"/>
      <c r="E41" s="5"/>
      <c r="F41" s="4"/>
    </row>
    <row r="42" spans="1:6" ht="15.75" customHeight="1">
      <c r="A42" s="31" t="s">
        <v>144</v>
      </c>
      <c r="B42" s="5"/>
      <c r="C42" s="4"/>
      <c r="D42" s="4"/>
      <c r="E42" s="5"/>
      <c r="F42" s="4"/>
    </row>
    <row r="43" spans="1:6" ht="15.75" customHeight="1">
      <c r="A43" s="31" t="s">
        <v>145</v>
      </c>
      <c r="B43" s="5"/>
      <c r="C43" s="4"/>
      <c r="D43" s="4"/>
      <c r="E43" s="5"/>
      <c r="F43" s="4"/>
    </row>
    <row r="44" spans="1:6" ht="15.75" customHeight="1">
      <c r="A44" s="32" t="s">
        <v>146</v>
      </c>
      <c r="B44" s="5"/>
      <c r="C44" s="4"/>
      <c r="D44" s="4"/>
      <c r="E44" s="5"/>
      <c r="F44" s="4"/>
    </row>
    <row r="45" spans="1:6" ht="15.75" customHeight="1">
      <c r="A45" s="31" t="s">
        <v>147</v>
      </c>
      <c r="B45" s="5"/>
      <c r="C45" s="4"/>
      <c r="D45" s="4"/>
      <c r="E45" s="5"/>
      <c r="F45" s="4"/>
    </row>
    <row r="46" spans="1:6" ht="15.75" customHeight="1">
      <c r="A46" s="32" t="s">
        <v>148</v>
      </c>
      <c r="B46" s="5"/>
      <c r="C46" s="4"/>
      <c r="D46" s="4"/>
      <c r="E46" s="5"/>
      <c r="F46" s="4"/>
    </row>
    <row r="47" spans="1:6" ht="15.75" customHeight="1">
      <c r="A47" s="32" t="s">
        <v>149</v>
      </c>
      <c r="B47" s="5"/>
      <c r="C47" s="4"/>
      <c r="D47" s="4"/>
      <c r="E47" s="5"/>
      <c r="F47" s="4"/>
    </row>
    <row r="48" spans="1:6" ht="15.75" customHeight="1">
      <c r="A48" s="31" t="s">
        <v>150</v>
      </c>
      <c r="B48" s="5"/>
      <c r="C48" s="4"/>
      <c r="D48" s="4"/>
      <c r="E48" s="5"/>
      <c r="F48" s="4"/>
    </row>
    <row r="49" spans="1:6" ht="15.75" customHeight="1">
      <c r="A49" s="31" t="s">
        <v>151</v>
      </c>
      <c r="B49" s="5"/>
      <c r="C49" s="4"/>
      <c r="D49" s="4"/>
      <c r="E49" s="5"/>
      <c r="F49" s="4"/>
    </row>
    <row r="50" spans="1:6" ht="15.75" customHeight="1">
      <c r="A50" s="31" t="s">
        <v>152</v>
      </c>
      <c r="B50" s="5"/>
      <c r="C50" s="4"/>
      <c r="D50" s="4"/>
      <c r="E50" s="5"/>
      <c r="F50" s="4"/>
    </row>
    <row r="51" spans="1:6" ht="15.75" customHeight="1">
      <c r="A51" s="31" t="s">
        <v>153</v>
      </c>
      <c r="B51" s="5"/>
      <c r="C51" s="4"/>
      <c r="D51" s="4"/>
      <c r="E51" s="5"/>
      <c r="F51" s="4"/>
    </row>
    <row r="52" spans="1:6" ht="15.75" customHeight="1">
      <c r="A52" s="31" t="s">
        <v>154</v>
      </c>
      <c r="B52" s="5"/>
      <c r="C52" s="4"/>
      <c r="D52" s="4"/>
      <c r="E52" s="5"/>
      <c r="F52" s="4"/>
    </row>
    <row r="53" spans="1:6" ht="15.75" customHeight="1">
      <c r="A53" s="31" t="s">
        <v>155</v>
      </c>
      <c r="B53" s="5"/>
      <c r="C53" s="4"/>
      <c r="D53" s="4"/>
      <c r="E53" s="5"/>
      <c r="F53" s="4"/>
    </row>
    <row r="54" spans="1:6" ht="15.75" customHeight="1">
      <c r="A54" s="31" t="s">
        <v>156</v>
      </c>
      <c r="B54" s="5"/>
      <c r="C54" s="4"/>
      <c r="D54" s="4"/>
      <c r="E54" s="5"/>
      <c r="F54" s="4"/>
    </row>
    <row r="55" spans="1:6" ht="15.75" customHeight="1">
      <c r="A55" s="31" t="s">
        <v>157</v>
      </c>
      <c r="B55" s="5"/>
      <c r="C55" s="4"/>
      <c r="D55" s="4"/>
      <c r="E55" s="5"/>
      <c r="F55" s="4"/>
    </row>
    <row r="56" spans="1:6" ht="15.75" customHeight="1">
      <c r="A56" s="31" t="s">
        <v>158</v>
      </c>
      <c r="B56" s="5"/>
      <c r="C56" s="4"/>
      <c r="D56" s="4"/>
      <c r="E56" s="5"/>
      <c r="F56" s="4"/>
    </row>
    <row r="57" spans="1:6" ht="15.75" customHeight="1">
      <c r="A57" s="31" t="s">
        <v>159</v>
      </c>
      <c r="B57" s="5"/>
      <c r="C57" s="4"/>
      <c r="D57" s="4"/>
      <c r="E57" s="5"/>
      <c r="F57" s="4"/>
    </row>
    <row r="58" spans="1:6" ht="15.75" customHeight="1">
      <c r="A58" s="31" t="s">
        <v>160</v>
      </c>
      <c r="B58" s="5"/>
      <c r="C58" s="4"/>
      <c r="D58" s="4"/>
      <c r="E58" s="5"/>
      <c r="F58" s="4"/>
    </row>
    <row r="59" spans="1:6" ht="15.75" customHeight="1">
      <c r="A59" s="31" t="s">
        <v>161</v>
      </c>
      <c r="B59" s="5"/>
      <c r="C59" s="4"/>
      <c r="D59" s="4"/>
      <c r="E59" s="5"/>
      <c r="F59" s="4"/>
    </row>
    <row r="60" spans="1:6" ht="15.75" customHeight="1">
      <c r="A60" s="31" t="s">
        <v>162</v>
      </c>
      <c r="B60" s="5"/>
      <c r="C60" s="4"/>
      <c r="D60" s="4"/>
      <c r="E60" s="5"/>
      <c r="F60" s="4"/>
    </row>
    <row r="61" spans="1:6" ht="15.75" customHeight="1">
      <c r="A61" s="32" t="s">
        <v>161</v>
      </c>
      <c r="B61" s="5"/>
      <c r="C61" s="4"/>
      <c r="D61" s="4"/>
      <c r="E61" s="5"/>
      <c r="F61" s="4"/>
    </row>
    <row r="62" spans="1:6" ht="15.75" customHeight="1">
      <c r="A62" s="31" t="s">
        <v>163</v>
      </c>
      <c r="B62" s="5"/>
      <c r="C62" s="4"/>
      <c r="D62" s="4"/>
      <c r="E62" s="5"/>
      <c r="F62" s="4"/>
    </row>
    <row r="63" spans="1:6" ht="15.75" customHeight="1">
      <c r="A63" s="31" t="s">
        <v>164</v>
      </c>
      <c r="B63" s="5"/>
      <c r="C63" s="4"/>
      <c r="D63" s="4"/>
      <c r="E63" s="5"/>
      <c r="F63" s="4"/>
    </row>
    <row r="64" spans="1:6" ht="15.75" customHeight="1">
      <c r="A64" s="31" t="s">
        <v>165</v>
      </c>
      <c r="B64" s="5"/>
      <c r="C64" s="4"/>
      <c r="D64" s="4"/>
      <c r="E64" s="5"/>
      <c r="F64" s="4"/>
    </row>
    <row r="65" spans="1:6" ht="15.75" customHeight="1">
      <c r="A65" s="32" t="s">
        <v>166</v>
      </c>
      <c r="B65" s="5"/>
      <c r="C65" s="4"/>
      <c r="D65" s="4"/>
      <c r="E65" s="5"/>
      <c r="F65" s="4"/>
    </row>
    <row r="66" spans="1:6" ht="15.75" customHeight="1">
      <c r="D66" s="2"/>
      <c r="E66" s="2"/>
      <c r="F66" s="2"/>
    </row>
    <row r="67" spans="1:6" ht="36" customHeight="1">
      <c r="A67" s="24" t="s">
        <v>12</v>
      </c>
      <c r="B67" s="21"/>
      <c r="C67" s="21"/>
      <c r="D67" s="4"/>
      <c r="E67" s="5"/>
      <c r="F67" s="4"/>
    </row>
    <row r="68" spans="1:6" ht="15.75" customHeight="1">
      <c r="A68" s="22" t="s">
        <v>13</v>
      </c>
      <c r="B68" s="21"/>
      <c r="C68" s="21"/>
      <c r="D68" s="8"/>
    </row>
    <row r="69" spans="1:6" ht="15.75" customHeight="1">
      <c r="A69" s="20" t="s">
        <v>14</v>
      </c>
      <c r="B69" s="21"/>
      <c r="C69" s="21"/>
      <c r="D69" s="9"/>
      <c r="E69" s="10"/>
    </row>
    <row r="70" spans="1:6" ht="15.75" customHeight="1">
      <c r="A70" s="22" t="s">
        <v>15</v>
      </c>
      <c r="B70" s="21"/>
      <c r="C70" s="21"/>
      <c r="D70" s="8"/>
    </row>
    <row r="71" spans="1:6" ht="15.75" customHeight="1">
      <c r="A71" s="20" t="s">
        <v>16</v>
      </c>
      <c r="B71" s="21"/>
      <c r="C71" s="21"/>
      <c r="D71" s="9"/>
      <c r="E71" s="10"/>
    </row>
    <row r="72" spans="1:6" ht="15.75" customHeight="1">
      <c r="A72" s="22" t="s">
        <v>17</v>
      </c>
      <c r="B72" s="21"/>
      <c r="C72" s="21"/>
      <c r="D72" s="8"/>
    </row>
    <row r="73" spans="1:6" ht="15.75" customHeight="1">
      <c r="A73" s="20" t="s">
        <v>18</v>
      </c>
      <c r="B73" s="21"/>
      <c r="C73" s="21"/>
      <c r="D73" s="9"/>
      <c r="E73" s="10"/>
    </row>
    <row r="74" spans="1:6" ht="15.75" customHeight="1">
      <c r="A74" s="8"/>
      <c r="B74" s="8"/>
      <c r="C74" s="8"/>
      <c r="D74" s="8"/>
    </row>
    <row r="75" spans="1:6" ht="15.75" customHeight="1">
      <c r="A75" s="8"/>
      <c r="B75" s="8"/>
      <c r="C75" s="8"/>
      <c r="D75" s="8"/>
    </row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</sheetData>
  <mergeCells count="8">
    <mergeCell ref="A71:C71"/>
    <mergeCell ref="A72:C72"/>
    <mergeCell ref="A73:C73"/>
    <mergeCell ref="A1:F1"/>
    <mergeCell ref="A67:C67"/>
    <mergeCell ref="A68:C68"/>
    <mergeCell ref="A69:C69"/>
    <mergeCell ref="A70:C70"/>
  </mergeCells>
  <dataValidations count="3">
    <dataValidation type="list" allowBlank="1" showErrorMessage="1" sqref="F3:F66" xr:uid="{00000000-0002-0000-0000-000000000000}">
      <formula1>"100% Alinhado e Exclusivo,Vários Produtos/Serviços,Site Institucional"</formula1>
    </dataValidation>
    <dataValidation type="list" allowBlank="1" showErrorMessage="1" sqref="D3:D66" xr:uid="{00000000-0002-0000-0000-000001000000}">
      <formula1>"Relação Direta (intenção de compra),Relação Próxima (maioria quer comprar),Relação de Dor (buscando solução),Relação de Informação (Pesquisando sobre o Problema)"</formula1>
    </dataValidation>
    <dataValidation type="list" allowBlank="1" showErrorMessage="1" sqref="E3:E66" xr:uid="{00000000-0002-0000-0000-000002000000}">
      <formula1>"Intencionalidade Exclusiva,70% de Intencionalidade,50% de Intencionaliadade,Baixa Intencionalidade"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0"/>
  <sheetViews>
    <sheetView topLeftCell="A35" workbookViewId="0">
      <selection activeCell="A52" sqref="A52"/>
    </sheetView>
  </sheetViews>
  <sheetFormatPr defaultColWidth="12.5703125" defaultRowHeight="15" customHeight="1"/>
  <cols>
    <col min="1" max="1" width="32.5703125" customWidth="1"/>
    <col min="2" max="4" width="12.5703125" customWidth="1"/>
  </cols>
  <sheetData>
    <row r="1" spans="1:22" ht="29.25" customHeight="1">
      <c r="A1" s="11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5.75" customHeight="1">
      <c r="A2" s="13" t="s">
        <v>73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15.75" customHeight="1">
      <c r="A3" s="14" t="s">
        <v>74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ht="15.75" customHeight="1">
      <c r="A4" s="13" t="s">
        <v>75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15.75" customHeight="1">
      <c r="A5" s="14" t="s">
        <v>76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15.75" customHeight="1">
      <c r="A6" s="13" t="s">
        <v>77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.75" customHeight="1">
      <c r="A7" s="14" t="s">
        <v>78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ht="15.75" customHeight="1">
      <c r="A8" s="13" t="s">
        <v>79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ht="15.75" customHeight="1">
      <c r="A9" s="14" t="s">
        <v>80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ht="15.75" customHeight="1">
      <c r="A10" s="13" t="s">
        <v>81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ht="15.75" customHeight="1">
      <c r="A11" s="14" t="s">
        <v>61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ht="15.75" customHeight="1">
      <c r="A12" s="13" t="s">
        <v>82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ht="15.75" customHeight="1">
      <c r="A13" s="14" t="s">
        <v>83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ht="15.75" customHeight="1">
      <c r="A14" s="13" t="s">
        <v>84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ht="15.75" customHeight="1">
      <c r="A15" s="14" t="s">
        <v>85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5.75" customHeight="1">
      <c r="A16" s="13" t="s">
        <v>86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t="15.75" customHeight="1">
      <c r="A17" s="14" t="s">
        <v>87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15.75" customHeight="1">
      <c r="A18" s="13" t="s">
        <v>88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15.75" customHeight="1">
      <c r="A19" s="14" t="s">
        <v>89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5.75" customHeight="1">
      <c r="A20" s="13" t="s">
        <v>90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15.75" customHeight="1">
      <c r="A21" s="14" t="s">
        <v>91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t="15.75" customHeight="1">
      <c r="A22" s="13" t="s">
        <v>92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t="15.75" customHeight="1">
      <c r="A23" s="14" t="s">
        <v>93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t="15.75" customHeight="1">
      <c r="A24" s="13" t="s">
        <v>94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t="15.75" customHeight="1">
      <c r="A25" s="14" t="s">
        <v>95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t="15.75" customHeight="1">
      <c r="A26" s="30" t="s">
        <v>96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t="15.75" customHeight="1">
      <c r="A27" s="14" t="s">
        <v>97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5.75" customHeight="1">
      <c r="A28" s="13" t="s">
        <v>98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ht="15.75" customHeight="1">
      <c r="A29" s="14" t="s">
        <v>99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ht="15.75" customHeight="1">
      <c r="A30" s="12" t="s">
        <v>100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ht="15.75" customHeight="1">
      <c r="A31" s="12" t="s">
        <v>101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t="15.75" customHeight="1">
      <c r="A32" s="12" t="s">
        <v>102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t="15.75" customHeight="1">
      <c r="A33" s="12" t="s">
        <v>103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ht="15.75" customHeight="1">
      <c r="A34" s="12" t="s">
        <v>104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ht="15.75" customHeight="1">
      <c r="A35" s="12" t="s">
        <v>105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t="15.75" customHeight="1">
      <c r="A36" s="12" t="s">
        <v>106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ht="15.75" customHeight="1">
      <c r="A37" s="31" t="s">
        <v>107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t="15.75" customHeight="1">
      <c r="A38" s="31" t="s">
        <v>108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t="15.75" customHeight="1">
      <c r="A39" s="32" t="s">
        <v>109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t="15.75" customHeight="1">
      <c r="A40" s="31" t="s">
        <v>110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t="15.75" customHeight="1">
      <c r="A41" s="31" t="s">
        <v>111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t="15.75" customHeight="1">
      <c r="A42" s="31" t="s">
        <v>112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ht="15.75" customHeight="1">
      <c r="A43" s="32" t="s">
        <v>114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ht="15.75" customHeight="1">
      <c r="A44" s="31" t="s">
        <v>113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ht="15.75" customHeight="1">
      <c r="A45" s="32" t="s">
        <v>115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5.75" customHeight="1">
      <c r="A46" s="32" t="s">
        <v>116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15.75" customHeight="1">
      <c r="A47" s="32" t="s">
        <v>117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15.75" customHeight="1">
      <c r="A48" s="32" t="s">
        <v>118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ht="15.75" customHeight="1">
      <c r="A49" s="33" t="s">
        <v>119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ht="15.75" customHeight="1">
      <c r="A50" s="31" t="s">
        <v>130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ht="15.75" customHeight="1">
      <c r="A51" s="31" t="s">
        <v>131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ht="15.75" customHeight="1">
      <c r="A52" s="31" t="s">
        <v>139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1:22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2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2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2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1:22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1:22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1:22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1:22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:22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:22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:22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1:22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:22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:22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:2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spans="1:22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1:22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spans="1:22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2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1:22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1:22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1:22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1:22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1:22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1:22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1:22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2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2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1:22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2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2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2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1:22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spans="1:22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spans="1:22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spans="1:22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spans="1:22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spans="1:22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spans="1:22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spans="1:22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spans="1:22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spans="1:22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spans="1:2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spans="1:22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1:22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spans="1:22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spans="1:22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spans="1:22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spans="1:22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spans="1:22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spans="1:22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spans="1:22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spans="1:2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spans="1:22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spans="1:22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spans="1:22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spans="1:22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spans="1:22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spans="1:22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spans="1:22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spans="1:22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spans="1:22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spans="1:2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spans="1:22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spans="1:22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spans="1:22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spans="1:22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spans="1:22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spans="1:22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spans="1:22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spans="1:22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spans="1:22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spans="1:2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spans="1:22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spans="1:22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spans="1:22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spans="1:22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spans="1:22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spans="1:22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spans="1:22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spans="1:22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spans="1:22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spans="1:2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spans="1:22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spans="1:22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spans="1:22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spans="1:22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spans="1:22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spans="1:22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spans="1:22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spans="1:22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spans="1:22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spans="1:2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spans="1:22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spans="1:22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spans="1:22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spans="1:22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spans="1:22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spans="1:22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spans="1:22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spans="1:22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spans="1:22" ht="15.75" customHeight="1"/>
    <row r="222" spans="1:22" ht="15.75" customHeight="1"/>
    <row r="223" spans="1:22" ht="15.75" customHeight="1"/>
    <row r="224" spans="1:2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workbookViewId="0"/>
  </sheetViews>
  <sheetFormatPr defaultColWidth="12.5703125" defaultRowHeight="15" customHeight="1"/>
  <cols>
    <col min="1" max="1" width="32.42578125" customWidth="1"/>
    <col min="2" max="2" width="18.28515625" customWidth="1"/>
    <col min="3" max="3" width="19.7109375" customWidth="1"/>
    <col min="4" max="4" width="2.5703125" customWidth="1"/>
    <col min="5" max="5" width="17.42578125" customWidth="1"/>
  </cols>
  <sheetData>
    <row r="1" spans="1:9" ht="73.5" customHeight="1">
      <c r="A1" s="23" t="s">
        <v>20</v>
      </c>
      <c r="B1" s="21"/>
      <c r="C1" s="21"/>
    </row>
    <row r="2" spans="1:9" ht="15.75" customHeight="1">
      <c r="A2" s="1" t="s">
        <v>1</v>
      </c>
      <c r="B2" s="1" t="s">
        <v>21</v>
      </c>
      <c r="C2" s="1" t="s">
        <v>22</v>
      </c>
    </row>
    <row r="3" spans="1:9" ht="15.75" customHeight="1">
      <c r="A3" s="2" t="str">
        <f>'Fase1_Estudo Palavras'!A3</f>
        <v>Etiquetas Personalizadas</v>
      </c>
      <c r="B3" s="3" t="s">
        <v>23</v>
      </c>
      <c r="C3" s="2" t="s">
        <v>24</v>
      </c>
    </row>
    <row r="4" spans="1:9" ht="15.75" customHeight="1">
      <c r="A4" s="4" t="str">
        <f>'Fase1_Estudo Palavras'!A4</f>
        <v>etiquetas personalizadas para roupa</v>
      </c>
      <c r="B4" s="5" t="s">
        <v>23</v>
      </c>
      <c r="C4" s="4" t="s">
        <v>24</v>
      </c>
      <c r="E4" s="26" t="s">
        <v>25</v>
      </c>
      <c r="F4" s="21"/>
      <c r="G4" s="21"/>
      <c r="H4" s="15"/>
      <c r="I4" s="15"/>
    </row>
    <row r="5" spans="1:9" ht="15.75" customHeight="1">
      <c r="A5" s="2" t="str">
        <f>'Fase1_Estudo Palavras'!A5</f>
        <v>etiqueta roupa personalizada</v>
      </c>
      <c r="B5" s="3" t="s">
        <v>26</v>
      </c>
      <c r="C5" s="2" t="s">
        <v>24</v>
      </c>
      <c r="E5" s="22" t="s">
        <v>27</v>
      </c>
      <c r="F5" s="21"/>
      <c r="G5" s="21"/>
      <c r="H5" s="21"/>
      <c r="I5" s="21"/>
    </row>
    <row r="6" spans="1:9" ht="15.75" customHeight="1">
      <c r="A6" s="4" t="str">
        <f>'Fase1_Estudo Palavras'!A6</f>
        <v>etiqueta personalizada para roupas</v>
      </c>
      <c r="B6" s="5" t="s">
        <v>23</v>
      </c>
      <c r="C6" s="4" t="s">
        <v>28</v>
      </c>
      <c r="E6" s="25" t="s">
        <v>29</v>
      </c>
      <c r="F6" s="21"/>
      <c r="G6" s="21"/>
      <c r="H6" s="21"/>
      <c r="I6" s="21"/>
    </row>
    <row r="7" spans="1:9" ht="15.75" customHeight="1">
      <c r="A7" s="2" t="str">
        <f>'Fase1_Estudo Palavras'!A7</f>
        <v>fábrica de etiquetas</v>
      </c>
      <c r="B7" s="3"/>
      <c r="C7" s="2"/>
      <c r="E7" s="8"/>
      <c r="F7" s="8"/>
      <c r="G7" s="8"/>
      <c r="H7" s="15"/>
      <c r="I7" s="15"/>
    </row>
    <row r="8" spans="1:9" ht="15.75" customHeight="1">
      <c r="A8" s="4" t="str">
        <f>'Fase1_Estudo Palavras'!A8</f>
        <v>etiquetas bordadas</v>
      </c>
      <c r="B8" s="5"/>
      <c r="C8" s="4"/>
      <c r="E8" s="8"/>
      <c r="F8" s="8"/>
      <c r="G8" s="8"/>
      <c r="H8" s="15"/>
      <c r="I8" s="15"/>
    </row>
    <row r="9" spans="1:9" ht="15.75" customHeight="1">
      <c r="A9" s="2" t="str">
        <f>'Fase1_Estudo Palavras'!A9</f>
        <v>etiqueta termocolante personalizada</v>
      </c>
      <c r="B9" s="3"/>
      <c r="C9" s="2"/>
      <c r="E9" s="26" t="s">
        <v>30</v>
      </c>
      <c r="F9" s="21"/>
      <c r="G9" s="21"/>
      <c r="H9" s="15"/>
      <c r="I9" s="15"/>
    </row>
    <row r="10" spans="1:9" ht="15.75" customHeight="1">
      <c r="A10" s="4" t="str">
        <f>'Fase1_Estudo Palavras'!A10</f>
        <v>etiquetas redondas personalizadas</v>
      </c>
      <c r="B10" s="5"/>
      <c r="C10" s="4"/>
      <c r="E10" s="22" t="s">
        <v>31</v>
      </c>
      <c r="F10" s="21"/>
      <c r="G10" s="21"/>
      <c r="H10" s="21"/>
      <c r="I10" s="21"/>
    </row>
    <row r="11" spans="1:9" ht="15.75" customHeight="1">
      <c r="A11" s="2" t="str">
        <f>'Fase1_Estudo Palavras'!A11</f>
        <v>etiquetas bordadas personalizadas</v>
      </c>
      <c r="B11" s="3"/>
      <c r="C11" s="2"/>
      <c r="E11" s="25" t="s">
        <v>32</v>
      </c>
      <c r="F11" s="21"/>
      <c r="G11" s="21"/>
      <c r="H11" s="21"/>
      <c r="I11" s="21"/>
    </row>
    <row r="12" spans="1:9" ht="15.75" customHeight="1">
      <c r="A12" s="4" t="str">
        <f>'Fase1_Estudo Palavras'!A12</f>
        <v>fabrica de etiquetas para roupas</v>
      </c>
      <c r="B12" s="5"/>
      <c r="C12" s="4"/>
      <c r="E12" s="8"/>
      <c r="F12" s="22"/>
      <c r="G12" s="21"/>
      <c r="H12" s="21"/>
      <c r="I12" s="21"/>
    </row>
    <row r="13" spans="1:9" ht="15.75" customHeight="1">
      <c r="A13" s="2" t="str">
        <f>'Fase1_Estudo Palavras'!A13</f>
        <v>etiquetas para personalizar</v>
      </c>
      <c r="B13" s="3"/>
      <c r="C13" s="2"/>
    </row>
    <row r="14" spans="1:9" ht="15.75" customHeight="1">
      <c r="A14" s="4" t="str">
        <f>'Fase1_Estudo Palavras'!A14</f>
        <v>etiquetas bordadas para roupas</v>
      </c>
      <c r="B14" s="5"/>
      <c r="C14" s="4"/>
      <c r="E14" s="15"/>
      <c r="F14" s="15"/>
      <c r="G14" s="15"/>
      <c r="H14" s="15"/>
      <c r="I14" s="15"/>
    </row>
    <row r="15" spans="1:9" ht="15.75" customHeight="1">
      <c r="A15" s="2" t="str">
        <f>'Fase1_Estudo Palavras'!A15</f>
        <v>etiquetas para artesanato</v>
      </c>
      <c r="B15" s="3"/>
      <c r="C15" s="2"/>
    </row>
    <row r="16" spans="1:9" ht="15.75" customHeight="1">
      <c r="A16" s="4" t="str">
        <f>'Fase1_Estudo Palavras'!A16</f>
        <v>etiqueta tecida</v>
      </c>
      <c r="B16" s="5"/>
      <c r="C16" s="4"/>
    </row>
    <row r="17" spans="1:3" ht="15.75" customHeight="1">
      <c r="A17" s="2" t="str">
        <f>'Fase1_Estudo Palavras'!A17</f>
        <v>etiqueta de tecido para roupas</v>
      </c>
      <c r="B17" s="3"/>
      <c r="C17" s="2"/>
    </row>
    <row r="18" spans="1:3" ht="15.75" customHeight="1">
      <c r="A18" s="4" t="str">
        <f>'Fase1_Estudo Palavras'!A18</f>
        <v>etiqueta de tecidos</v>
      </c>
      <c r="B18" s="5"/>
      <c r="C18" s="4"/>
    </row>
    <row r="19" spans="1:3" ht="15.75" customHeight="1"/>
    <row r="20" spans="1:3" ht="15.75" customHeight="1"/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C6" xr:uid="{00000000-0009-0000-0000-000002000000}"/>
  <mergeCells count="8">
    <mergeCell ref="E10:I10"/>
    <mergeCell ref="E11:I11"/>
    <mergeCell ref="F12:I12"/>
    <mergeCell ref="A1:C1"/>
    <mergeCell ref="E4:G4"/>
    <mergeCell ref="E5:I5"/>
    <mergeCell ref="E6:I6"/>
    <mergeCell ref="E9:G9"/>
  </mergeCells>
  <dataValidations count="2">
    <dataValidation type="list" allowBlank="1" showErrorMessage="1" sqref="C3:C18" xr:uid="{00000000-0002-0000-0200-000000000000}">
      <formula1>"Interesse 1,Interesse 2,Interesse 3,Interesse 4"</formula1>
    </dataValidation>
    <dataValidation type="list" allowBlank="1" showErrorMessage="1" sqref="B3:B18" xr:uid="{00000000-0002-0000-0200-000002000000}">
      <formula1>"Solução 1,Solução 2,Solução 3,Solução 4"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/>
  </sheetViews>
  <sheetFormatPr defaultColWidth="12.5703125" defaultRowHeight="15" customHeight="1"/>
  <cols>
    <col min="1" max="1" width="32.42578125" customWidth="1"/>
    <col min="2" max="2" width="20.42578125" customWidth="1"/>
    <col min="3" max="3" width="16.5703125" customWidth="1"/>
    <col min="4" max="4" width="18.42578125" customWidth="1"/>
    <col min="5" max="5" width="19.5703125" customWidth="1"/>
    <col min="6" max="6" width="11.85546875" customWidth="1"/>
    <col min="7" max="7" width="20.42578125" customWidth="1"/>
    <col min="8" max="8" width="32.28515625" customWidth="1"/>
    <col min="9" max="9" width="34.28515625" customWidth="1"/>
  </cols>
  <sheetData>
    <row r="1" spans="1:11" ht="73.5" customHeight="1">
      <c r="A1" s="29" t="s">
        <v>33</v>
      </c>
      <c r="B1" s="21"/>
      <c r="C1" s="21"/>
      <c r="D1" s="21"/>
      <c r="E1" s="21"/>
      <c r="F1" s="21"/>
      <c r="G1" s="21"/>
      <c r="H1" s="21"/>
      <c r="I1" s="21"/>
    </row>
    <row r="2" spans="1:11" ht="15.75" customHeight="1">
      <c r="A2" s="1" t="s">
        <v>1</v>
      </c>
      <c r="B2" s="1" t="s">
        <v>2</v>
      </c>
      <c r="C2" s="1" t="s">
        <v>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</row>
    <row r="3" spans="1:11" ht="15.75" customHeight="1">
      <c r="A3" s="2" t="str">
        <f>'Fase1_Estudo Palavras'!A3</f>
        <v>Etiquetas Personalizadas</v>
      </c>
      <c r="B3" s="3" t="str">
        <f>'Fase1_Estudo Palavras'!B3</f>
        <v>10K - 100K</v>
      </c>
      <c r="C3" s="2">
        <f>'Fase1_Estudo Palavras'!C3</f>
        <v>2.27</v>
      </c>
      <c r="D3" s="2" t="e">
        <f t="shared" ref="D3:D11" si="0">IF(C3="","",B3*C3)</f>
        <v>#VALUE!</v>
      </c>
      <c r="E3" s="16">
        <v>0.5</v>
      </c>
      <c r="F3" s="16">
        <v>0.1</v>
      </c>
      <c r="G3" s="2" t="e">
        <f t="shared" ref="G3:G10" si="1">IF(F3="","",B3*E3*F3*C3)</f>
        <v>#VALUE!</v>
      </c>
      <c r="H3" s="16">
        <v>0.1</v>
      </c>
      <c r="I3" s="3" t="e">
        <f t="shared" ref="I3:I10" si="2">IF(H3="","",B3*E3*F3*H3)</f>
        <v>#VALUE!</v>
      </c>
    </row>
    <row r="4" spans="1:11" ht="15.75" customHeight="1">
      <c r="A4" s="4" t="str">
        <f>'Fase1_Estudo Palavras'!A4</f>
        <v>etiquetas personalizadas para roupa</v>
      </c>
      <c r="B4" s="5" t="str">
        <f>'Fase1_Estudo Palavras'!B4</f>
        <v>1K - 10K</v>
      </c>
      <c r="C4" s="4">
        <f>'Fase1_Estudo Palavras'!C4</f>
        <v>1.55</v>
      </c>
      <c r="D4" s="4" t="e">
        <f t="shared" si="0"/>
        <v>#VALUE!</v>
      </c>
      <c r="E4" s="17">
        <v>0.5</v>
      </c>
      <c r="F4" s="17">
        <v>0.1</v>
      </c>
      <c r="G4" s="4" t="e">
        <f t="shared" si="1"/>
        <v>#VALUE!</v>
      </c>
      <c r="H4" s="17">
        <v>0.1</v>
      </c>
      <c r="I4" s="5" t="e">
        <f t="shared" si="2"/>
        <v>#VALUE!</v>
      </c>
    </row>
    <row r="5" spans="1:11" ht="15.75" customHeight="1">
      <c r="A5" s="2" t="str">
        <f>'Fase1_Estudo Palavras'!A5</f>
        <v>etiqueta roupa personalizada</v>
      </c>
      <c r="B5" s="3" t="str">
        <f>'Fase1_Estudo Palavras'!B5</f>
        <v>1K - 10K</v>
      </c>
      <c r="C5" s="2">
        <f>'Fase1_Estudo Palavras'!C5</f>
        <v>1.61</v>
      </c>
      <c r="D5" s="2" t="e">
        <f t="shared" si="0"/>
        <v>#VALUE!</v>
      </c>
      <c r="E5" s="16">
        <v>0.5</v>
      </c>
      <c r="F5" s="16">
        <v>0.1</v>
      </c>
      <c r="G5" s="2" t="e">
        <f t="shared" si="1"/>
        <v>#VALUE!</v>
      </c>
      <c r="H5" s="16">
        <v>0.1</v>
      </c>
      <c r="I5" s="3" t="e">
        <f t="shared" si="2"/>
        <v>#VALUE!</v>
      </c>
    </row>
    <row r="6" spans="1:11" ht="15.75" customHeight="1">
      <c r="A6" s="4" t="str">
        <f>'Fase1_Estudo Palavras'!A6</f>
        <v>etiqueta personalizada para roupas</v>
      </c>
      <c r="B6" s="5" t="str">
        <f>'Fase1_Estudo Palavras'!B6</f>
        <v>1K - 10K</v>
      </c>
      <c r="C6" s="4">
        <f>'Fase1_Estudo Palavras'!C6</f>
        <v>1.6</v>
      </c>
      <c r="D6" s="4" t="e">
        <f t="shared" si="0"/>
        <v>#VALUE!</v>
      </c>
      <c r="E6" s="17">
        <v>0.5</v>
      </c>
      <c r="F6" s="17">
        <v>0.1</v>
      </c>
      <c r="G6" s="4" t="e">
        <f t="shared" si="1"/>
        <v>#VALUE!</v>
      </c>
      <c r="H6" s="17">
        <v>0.1</v>
      </c>
      <c r="I6" s="5" t="e">
        <f t="shared" si="2"/>
        <v>#VALUE!</v>
      </c>
    </row>
    <row r="7" spans="1:11" ht="15.75" customHeight="1">
      <c r="A7" s="2" t="str">
        <f>'Fase1_Estudo Palavras'!A7</f>
        <v>fábrica de etiquetas</v>
      </c>
      <c r="B7" s="3" t="str">
        <f>'Fase1_Estudo Palavras'!B7</f>
        <v>100 – 1 mil</v>
      </c>
      <c r="C7" s="2">
        <f>'Fase1_Estudo Palavras'!C7</f>
        <v>4.3</v>
      </c>
      <c r="D7" s="2" t="e">
        <f t="shared" si="0"/>
        <v>#VALUE!</v>
      </c>
      <c r="E7" s="16"/>
      <c r="F7" s="16"/>
      <c r="G7" s="2" t="str">
        <f t="shared" si="1"/>
        <v/>
      </c>
      <c r="H7" s="16"/>
      <c r="I7" s="3" t="str">
        <f t="shared" si="2"/>
        <v/>
      </c>
    </row>
    <row r="8" spans="1:11" ht="15.75" customHeight="1">
      <c r="A8" s="4" t="str">
        <f>'Fase1_Estudo Palavras'!A8</f>
        <v>etiquetas bordadas</v>
      </c>
      <c r="B8" s="5" t="str">
        <f>'Fase1_Estudo Palavras'!B8</f>
        <v>100 – 1 mil</v>
      </c>
      <c r="C8" s="4">
        <f>'Fase1_Estudo Palavras'!C8</f>
        <v>1.49</v>
      </c>
      <c r="D8" s="4" t="e">
        <f t="shared" si="0"/>
        <v>#VALUE!</v>
      </c>
      <c r="E8" s="17"/>
      <c r="F8" s="17"/>
      <c r="G8" s="4" t="str">
        <f t="shared" si="1"/>
        <v/>
      </c>
      <c r="H8" s="17"/>
      <c r="I8" s="5" t="str">
        <f t="shared" si="2"/>
        <v/>
      </c>
    </row>
    <row r="9" spans="1:11" ht="15.75" customHeight="1">
      <c r="A9" s="2" t="str">
        <f>'Fase1_Estudo Palavras'!A9</f>
        <v>etiqueta termocolante personalizada</v>
      </c>
      <c r="B9" s="3" t="str">
        <f>'Fase1_Estudo Palavras'!B9</f>
        <v>100 – 1 mil</v>
      </c>
      <c r="C9" s="2">
        <f>'Fase1_Estudo Palavras'!C9</f>
        <v>2.2999999999999998</v>
      </c>
      <c r="D9" s="2" t="e">
        <f t="shared" si="0"/>
        <v>#VALUE!</v>
      </c>
      <c r="E9" s="16"/>
      <c r="F9" s="16"/>
      <c r="G9" s="2" t="str">
        <f t="shared" si="1"/>
        <v/>
      </c>
      <c r="H9" s="16"/>
      <c r="I9" s="3" t="str">
        <f t="shared" si="2"/>
        <v/>
      </c>
    </row>
    <row r="10" spans="1:11" ht="15.75" customHeight="1">
      <c r="A10" s="4" t="str">
        <f>'Fase1_Estudo Palavras'!A10</f>
        <v>etiquetas redondas personalizadas</v>
      </c>
      <c r="B10" s="5" t="str">
        <f>'Fase1_Estudo Palavras'!B10</f>
        <v>100 – 1 mil</v>
      </c>
      <c r="C10" s="4">
        <f>'Fase1_Estudo Palavras'!C10</f>
        <v>1.7</v>
      </c>
      <c r="D10" s="4" t="e">
        <f t="shared" si="0"/>
        <v>#VALUE!</v>
      </c>
      <c r="E10" s="17"/>
      <c r="F10" s="17"/>
      <c r="G10" s="4" t="str">
        <f t="shared" si="1"/>
        <v/>
      </c>
      <c r="H10" s="17"/>
      <c r="I10" s="5" t="str">
        <f t="shared" si="2"/>
        <v/>
      </c>
    </row>
    <row r="11" spans="1:11" ht="15.75" customHeight="1">
      <c r="A11" s="2" t="str">
        <f>'Fase1_Estudo Palavras'!A11</f>
        <v>etiquetas bordadas personalizadas</v>
      </c>
      <c r="B11" s="3" t="str">
        <f>'Fase1_Estudo Palavras'!B11</f>
        <v>100 – 1 mil</v>
      </c>
      <c r="C11" s="2">
        <f>'Fase1_Estudo Palavras'!C11</f>
        <v>1.4</v>
      </c>
      <c r="D11" s="2" t="e">
        <f t="shared" si="0"/>
        <v>#VALUE!</v>
      </c>
      <c r="E11" s="16"/>
    </row>
    <row r="12" spans="1:11" ht="15.75" customHeight="1">
      <c r="A12" s="8"/>
      <c r="B12" s="8"/>
      <c r="C12" s="8"/>
      <c r="D12" s="8"/>
      <c r="E12" s="8"/>
      <c r="F12" s="8"/>
      <c r="G12" s="1" t="s">
        <v>40</v>
      </c>
      <c r="I12" s="1" t="s">
        <v>40</v>
      </c>
    </row>
    <row r="13" spans="1:11" ht="15.75" customHeight="1">
      <c r="A13" s="8"/>
      <c r="B13" s="8"/>
      <c r="C13" s="8"/>
      <c r="D13" s="8"/>
      <c r="E13" s="8"/>
      <c r="F13" s="8"/>
      <c r="G13" s="2" t="e">
        <f>SUM(G2:G10)</f>
        <v>#VALUE!</v>
      </c>
      <c r="I13" s="3" t="e">
        <f>SUM(I2:I10)</f>
        <v>#VALUE!</v>
      </c>
      <c r="J13" s="18" t="e">
        <f>I13*K13</f>
        <v>#VALUE!</v>
      </c>
      <c r="K13" s="19">
        <v>0.2</v>
      </c>
    </row>
    <row r="14" spans="1:11" ht="15.75" customHeight="1">
      <c r="J14" s="18" t="e">
        <f>I13*K14</f>
        <v>#VALUE!</v>
      </c>
      <c r="K14" s="19">
        <v>0.3</v>
      </c>
    </row>
    <row r="15" spans="1:11" ht="15.75" customHeight="1">
      <c r="J15" s="18" t="e">
        <f>I13*K15</f>
        <v>#VALUE!</v>
      </c>
      <c r="K15" s="19">
        <v>0.4</v>
      </c>
    </row>
    <row r="16" spans="1:11" ht="15.75" customHeight="1">
      <c r="B16" s="28" t="s">
        <v>41</v>
      </c>
      <c r="C16" s="21"/>
      <c r="D16" s="21"/>
      <c r="E16" s="21"/>
    </row>
    <row r="17" spans="2:5" ht="15.75" customHeight="1">
      <c r="B17" s="1" t="s">
        <v>42</v>
      </c>
      <c r="C17" s="27" t="s">
        <v>43</v>
      </c>
      <c r="D17" s="21"/>
      <c r="E17" s="21"/>
    </row>
    <row r="18" spans="2:5" ht="15.75" customHeight="1">
      <c r="B18" s="1" t="s">
        <v>44</v>
      </c>
      <c r="C18" s="27" t="s">
        <v>45</v>
      </c>
      <c r="D18" s="21"/>
      <c r="E18" s="21"/>
    </row>
    <row r="19" spans="2:5" ht="15.75" customHeight="1">
      <c r="B19" s="1" t="s">
        <v>46</v>
      </c>
      <c r="C19" s="27" t="s">
        <v>47</v>
      </c>
      <c r="D19" s="21"/>
      <c r="E19" s="21"/>
    </row>
    <row r="20" spans="2:5" ht="15.75" customHeight="1">
      <c r="B20" s="1" t="s">
        <v>48</v>
      </c>
      <c r="C20" s="27" t="s">
        <v>49</v>
      </c>
      <c r="D20" s="21"/>
      <c r="E20" s="21"/>
    </row>
    <row r="21" spans="2:5" ht="15.75" customHeight="1"/>
    <row r="22" spans="2:5" ht="15.75" customHeight="1">
      <c r="B22" s="28" t="s">
        <v>50</v>
      </c>
      <c r="C22" s="21"/>
      <c r="D22" s="21"/>
      <c r="E22" s="21"/>
    </row>
    <row r="23" spans="2:5" ht="15.75" customHeight="1">
      <c r="B23" s="15" t="s">
        <v>51</v>
      </c>
    </row>
    <row r="24" spans="2:5" ht="15.75" customHeight="1"/>
    <row r="25" spans="2:5" ht="15.75" customHeight="1"/>
    <row r="26" spans="2:5" ht="15.75" customHeight="1"/>
    <row r="27" spans="2:5" ht="15.75" customHeight="1"/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0:E20"/>
    <mergeCell ref="B22:E22"/>
    <mergeCell ref="A1:I1"/>
    <mergeCell ref="B16:E16"/>
    <mergeCell ref="C17:E17"/>
    <mergeCell ref="C18:E18"/>
    <mergeCell ref="C19:E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Fase1_Estudo Palavras</vt:lpstr>
      <vt:lpstr>Fase2_Palavras Negativas</vt:lpstr>
      <vt:lpstr>Fase3_Agrupamentos</vt:lpstr>
      <vt:lpstr>Fase4_Estimativa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daviPYJS</cp:lastModifiedBy>
  <dcterms:modified xsi:type="dcterms:W3CDTF">2026-08-21T20:31:15Z</dcterms:modified>
</cp:coreProperties>
</file>